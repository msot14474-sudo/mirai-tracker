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f8f6e2fc3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" sheetId="1" r:id="Ra77608da019540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%"/>
  </x:numFmts>
  <x:fonts count="7">
    <x:font>
      <x:sz val="11"/>
      <x:name val="Carlito"/>
    </x:font>
    <x:font>
      <x:sz val="10"/>
      <x:color rgb="FF223552"/>
      <x:name val="Arial"/>
    </x:font>
    <x:font>
      <x:b/>
      <x:sz val="16"/>
      <x:color rgb="FF17386B"/>
      <x:name val="Arial"/>
    </x:font>
    <x:font>
      <x:sz val="10"/>
      <x:color rgb="FF63748C"/>
      <x:name val="Arial"/>
    </x:font>
    <x:font>
      <x:b/>
      <x:sz val="10"/>
      <x:color rgb="FFFFFFFF"/>
      <x:name val="Arial"/>
    </x:font>
    <x:font>
      <x:b/>
      <x:sz val="10"/>
      <x:color rgb="FF223552"/>
      <x:name val="Arial"/>
    </x:font>
    <x:font>
      <x:sz val="9"/>
      <x:color rgb="FF63748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6B"/>
      </x:patternFill>
    </x:fill>
    <x:fill>
      <x:patternFill patternType="solid">
        <x:fgColor rgb="FFEDF3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FE6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fdc639557144dc" /><Relationship Type="http://schemas.openxmlformats.org/officeDocument/2006/relationships/theme" Target="/xl/theme/theme1.xml" Id="R47191fe95c0143ef" /><Relationship Type="http://schemas.openxmlformats.org/officeDocument/2006/relationships/sharedStrings" Target="/xl/sharedStrings.xml" Id="R39c701421f2b43db" /><Relationship Type="http://schemas.openxmlformats.org/officeDocument/2006/relationships/worksheet" Target="/xl/worksheets/sheet1.xml" Id="Ra77608da019540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9" hidden="0" customWidth="1"/>
    <x:col min="3" max="3" width="23" hidden="0" customWidth="1"/>
    <x:col min="4" max="4" width="23" hidden="0" customWidth="1"/>
    <x:col min="5" max="5" width="23" hidden="0" customWidth="1"/>
  </x:cols>
  <x:sheetData>
    <x:row r="2">
      <x:c r="B2" s="2" t="str">
        <x:v>Calculation verification</x:v>
      </x:c>
      <x:c r="C2" s="1"/>
      <x:c r="D2" s="1"/>
      <x:c r="E2" s="1"/>
    </x:row>
    <x:row r="3">
      <x:c r="B3" s="3" t="str">
        <x:v>20 October 2026 · future capacity through 11 December 2026</x:v>
      </x:c>
      <x:c r="C3" s="1"/>
      <x:c r="D3" s="1"/>
      <x:c r="E3" s="1"/>
    </x:row>
    <x:row r="4">
      <x:c r="B4" s="1"/>
      <x:c r="C4" s="1"/>
      <x:c r="D4" s="1"/>
      <x:c r="E4" s="1"/>
    </x:row>
    <x:row r="5" ht="30" customHeight="1">
      <x:c r="B5" s="6" t="str">
        <x:v>Metric</x:v>
      </x:c>
      <x:c r="C5" s="6" t="str">
        <x:v>Data Structures</x:v>
      </x:c>
      <x:c r="D5" s="6" t="str">
        <x:v>Web Development</x:v>
      </x:c>
      <x:c r="E5" s="6" t="str">
        <x:v>Database Systems</x:v>
      </x:c>
    </x:row>
    <x:row r="6" ht="24" customHeight="1">
      <x:c r="B6" s="1"/>
      <x:c r="C6" s="1"/>
      <x:c r="D6" s="1"/>
      <x:c r="E6" s="1"/>
    </x:row>
    <x:row r="7" ht="24" customHeight="1">
      <x:c r="B7" s="1" t="str">
        <x:v>Scope minutes</x:v>
      </x:c>
      <x:c r="C7" s="9" t="n">
        <x:v>2700</x:v>
      </x:c>
      <x:c r="D7" s="9" t="n">
        <x:v>3600</x:v>
      </x:c>
      <x:c r="E7" s="9" t="n">
        <x:v>4500</x:v>
      </x:c>
    </x:row>
    <x:row r="8" ht="24" customHeight="1">
      <x:c r="B8" s="1" t="str">
        <x:v>Covered minutes</x:v>
      </x:c>
      <x:c r="C8" s="9" t="n">
        <x:v>2205</x:v>
      </x:c>
      <x:c r="D8" s="9" t="n">
        <x:v>2145</x:v>
      </x:c>
      <x:c r="E8" s="9" t="n">
        <x:v>2085</x:v>
      </x:c>
    </x:row>
    <x:row r="9" ht="24" customHeight="1">
      <x:c r="B9" s="1" t="str">
        <x:v>Available minutes</x:v>
      </x:c>
      <x:c r="C9" s="9" t="n">
        <x:v>1200</x:v>
      </x:c>
      <x:c r="D9" s="9" t="n">
        <x:v>1200</x:v>
      </x:c>
      <x:c r="E9" s="9" t="n">
        <x:v>1200</x:v>
      </x:c>
    </x:row>
    <x:row r="10" ht="24" customHeight="1">
      <x:c r="B10" s="1"/>
      <x:c r="C10" s="7"/>
      <x:c r="D10" s="7"/>
      <x:c r="E10" s="7"/>
    </x:row>
    <x:row r="11" ht="24" customHeight="1">
      <x:c r="B11" s="1" t="str">
        <x:v>Calculated scope (h)</x:v>
      </x:c>
      <x:c r="C11" s="7" t="n">
        <x:f>C7/60</x:f>
        <x:v>45</x:v>
      </x:c>
      <x:c r="D11" s="7" t="n">
        <x:f>D7/60</x:f>
        <x:v>60</x:v>
      </x:c>
      <x:c r="E11" s="7" t="n">
        <x:f>E7/60</x:f>
        <x:v>75</x:v>
      </x:c>
    </x:row>
    <x:row r="12" ht="24" customHeight="1">
      <x:c r="B12" s="1" t="str">
        <x:v>Calculated covered (h)</x:v>
      </x:c>
      <x:c r="C12" s="7" t="n">
        <x:f>C8/60</x:f>
        <x:v>36.75</x:v>
      </x:c>
      <x:c r="D12" s="7" t="n">
        <x:f>D8/60</x:f>
        <x:v>35.75</x:v>
      </x:c>
      <x:c r="E12" s="7" t="n">
        <x:f>E8/60</x:f>
        <x:v>34.75</x:v>
      </x:c>
    </x:row>
    <x:row r="13" ht="24" customHeight="1">
      <x:c r="B13" s="1" t="str">
        <x:v>Calculated coverage</x:v>
      </x:c>
      <x:c r="C13" s="8" t="n">
        <x:f>C8/C7</x:f>
        <x:v>0.8166666666666667</x:v>
      </x:c>
      <x:c r="D13" s="8" t="n">
        <x:f>D8/D7</x:f>
        <x:v>0.5958333333333333</x:v>
      </x:c>
      <x:c r="E13" s="8" t="n">
        <x:f>E8/E7</x:f>
        <x:v>0.4633333333333333</x:v>
      </x:c>
    </x:row>
    <x:row r="14" ht="24" customHeight="1">
      <x:c r="B14" s="1" t="str">
        <x:v>Calculated remaining (h)</x:v>
      </x:c>
      <x:c r="C14" s="7" t="n">
        <x:f>(C7-C8)/60</x:f>
        <x:v>8.25</x:v>
      </x:c>
      <x:c r="D14" s="7" t="n">
        <x:f>(D7-D8)/60</x:f>
        <x:v>24.25</x:v>
      </x:c>
      <x:c r="E14" s="7" t="n">
        <x:f>(E7-E8)/60</x:f>
        <x:v>40.25</x:v>
      </x:c>
    </x:row>
    <x:row r="15" ht="24" customHeight="1">
      <x:c r="B15" s="1" t="str">
        <x:v>Calculated available (h)</x:v>
      </x:c>
      <x:c r="C15" s="7" t="n">
        <x:f>C9/60</x:f>
        <x:v>20</x:v>
      </x:c>
      <x:c r="D15" s="7" t="n">
        <x:f>D9/60</x:f>
        <x:v>20</x:v>
      </x:c>
      <x:c r="E15" s="7" t="n">
        <x:f>E9/60</x:f>
        <x:v>20</x:v>
      </x:c>
    </x:row>
    <x:row r="16" ht="24" customHeight="1">
      <x:c r="B16" s="1" t="str">
        <x:v>Calculated buffer ratio</x:v>
      </x:c>
      <x:c r="C16" s="7" t="n">
        <x:f>C15/C14</x:f>
        <x:v>2.4242424242424243</x:v>
      </x:c>
      <x:c r="D16" s="7" t="n">
        <x:f>D15/D14</x:f>
        <x:v>0.8247422680412371</x:v>
      </x:c>
      <x:c r="E16" s="7" t="n">
        <x:f>E15/E14</x:f>
        <x:v>0.4968944099378882</x:v>
      </x:c>
    </x:row>
    <x:row r="17" ht="24" customHeight="1">
      <x:c r="B17" s="1"/>
      <x:c r="C17" s="7"/>
      <x:c r="D17" s="7"/>
      <x:c r="E17" s="7"/>
    </x:row>
    <x:row r="18" ht="24" customHeight="1">
      <x:c r="B18" s="1" t="str">
        <x:v>API scope (h)</x:v>
      </x:c>
      <x:c r="C18" s="9" t="n">
        <x:v>45</x:v>
      </x:c>
      <x:c r="D18" s="9" t="n">
        <x:v>60</x:v>
      </x:c>
      <x:c r="E18" s="9" t="n">
        <x:v>75</x:v>
      </x:c>
    </x:row>
    <x:row r="19" ht="24" customHeight="1">
      <x:c r="B19" s="1" t="str">
        <x:v>API covered (h)</x:v>
      </x:c>
      <x:c r="C19" s="9" t="n">
        <x:v>36.75</x:v>
      </x:c>
      <x:c r="D19" s="9" t="n">
        <x:v>35.75</x:v>
      </x:c>
      <x:c r="E19" s="9" t="n">
        <x:v>34.75</x:v>
      </x:c>
    </x:row>
    <x:row r="20" ht="24" customHeight="1">
      <x:c r="B20" s="1" t="str">
        <x:v>API coverage</x:v>
      </x:c>
      <x:c r="C20" s="10" t="n">
        <x:v>0.8167</x:v>
      </x:c>
      <x:c r="D20" s="10" t="n">
        <x:v>0.5958</x:v>
      </x:c>
      <x:c r="E20" s="10" t="n">
        <x:v>0.4633</x:v>
      </x:c>
    </x:row>
    <x:row r="21" ht="24" customHeight="1">
      <x:c r="B21" s="1" t="str">
        <x:v>API remaining (h)</x:v>
      </x:c>
      <x:c r="C21" s="9" t="n">
        <x:v>8.25</x:v>
      </x:c>
      <x:c r="D21" s="9" t="n">
        <x:v>24.25</x:v>
      </x:c>
      <x:c r="E21" s="9" t="n">
        <x:v>40.25</x:v>
      </x:c>
    </x:row>
    <x:row r="22" ht="24" customHeight="1">
      <x:c r="B22" s="1" t="str">
        <x:v>API available (h)</x:v>
      </x:c>
      <x:c r="C22" s="9" t="n">
        <x:v>20</x:v>
      </x:c>
      <x:c r="D22" s="9" t="n">
        <x:v>20</x:v>
      </x:c>
      <x:c r="E22" s="9" t="n">
        <x:v>20</x:v>
      </x:c>
    </x:row>
    <x:row r="23" ht="24" customHeight="1">
      <x:c r="B23" s="1" t="str">
        <x:v>API buffer ratio</x:v>
      </x:c>
      <x:c r="C23" s="9" t="n">
        <x:v>2.42</x:v>
      </x:c>
      <x:c r="D23" s="9" t="n">
        <x:v>0.82</x:v>
      </x:c>
      <x:c r="E23" s="9" t="n">
        <x:v>0.5</x:v>
      </x:c>
    </x:row>
    <x:row r="24" ht="24" customHeight="1">
      <x:c r="B24" s="1"/>
      <x:c r="C24" s="7"/>
      <x:c r="D24" s="7"/>
      <x:c r="E24" s="7"/>
    </x:row>
    <x:row r="25" ht="24" customHeight="1">
      <x:c r="B25" s="11" t="str">
        <x:v>Maximum difference at 2 decimals</x:v>
      </x:c>
      <x:c r="C25" s="12" t="n">
        <x:f>MAX(ABS(ROUND(C11,2)-C18),ABS(ROUND(C12,2)-C19),ABS(ROUND(C13*100,2)-C20*100),ABS(ROUND(C14,2)-C21),ABS(ROUND(C15,2)-C22),ABS(ROUND(C16,2)-C23))</x:f>
        <x:v>0</x:v>
      </x:c>
      <x:c r="D25" s="12" t="n">
        <x:f>MAX(ABS(ROUND(D11,2)-D18),ABS(ROUND(D12,2)-D19),ABS(ROUND(D13*100,2)-D20*100),ABS(ROUND(D14,2)-D21),ABS(ROUND(D15,2)-D22),ABS(ROUND(D16,2)-D23))</x:f>
        <x:v>0</x:v>
      </x:c>
      <x:c r="E25" s="12" t="n">
        <x:f>MAX(ABS(ROUND(E11,2)-E18),ABS(ROUND(E12,2)-E19),ABS(ROUND(E13*100,2)-E20*100),ABS(ROUND(E14,2)-E21),ABS(ROUND(E15,2)-E22),ABS(ROUND(E16,2)-E23))</x:f>
        <x:v>0</x:v>
      </x:c>
    </x:row>
    <x:row r="26" ht="24" customHeight="1">
      <x:c r="B26" s="11" t="str">
        <x:v>Reconciliation</x:v>
      </x:c>
      <x:c r="C26" s="11" t="str">
        <x:f>IF(C25&lt;0.005,"MATCH","REVIEW")</x:f>
        <x:v>MATCH</x:v>
      </x:c>
      <x:c r="D26" s="11" t="str">
        <x:f>IF(D25&lt;0.005,"MATCH","REVIEW")</x:f>
        <x:v>MATCH</x:v>
      </x:c>
      <x:c r="E26" s="11" t="str">
        <x:f>IF(E25&lt;0.005,"MATCH","REVIEW")</x:f>
        <x:v>MATCH</x:v>
      </x:c>
    </x:row>
    <x:row r="27" ht="24" customHeight="1">
      <x:c r="B27" s="1"/>
      <x:c r="C27" s="1"/>
      <x:c r="D27" s="1"/>
      <x:c r="E27" s="1"/>
    </x:row>
    <x:row r="28" ht="24" customHeight="1">
      <x:c r="B28" s="1"/>
      <x:c r="C28" s="1"/>
      <x:c r="D28" s="1"/>
      <x:c r="E28" s="1"/>
    </x:row>
    <x:row r="29" ht="24" customHeight="1">
      <x:c r="B29" s="1" t="str">
        <x:v>ON TRACK threshold</x:v>
      </x:c>
      <x:c r="C29" s="7" t="n">
        <x:v>1.15</x:v>
      </x:c>
      <x:c r="D29" s="7" t="n">
        <x:v>1.15</x:v>
      </x:c>
      <x:c r="E29" s="7" t="n">
        <x:v>1.15</x:v>
      </x:c>
    </x:row>
    <x:row r="30" ht="24" customHeight="1">
      <x:c r="B30" s="1" t="str">
        <x:v>TIGHT threshold</x:v>
      </x:c>
      <x:c r="C30" s="7" t="n">
        <x:v>1</x:v>
      </x:c>
      <x:c r="D30" s="7" t="n">
        <x:v>1</x:v>
      </x:c>
      <x:c r="E30" s="7" t="n">
        <x:v>1</x:v>
      </x:c>
    </x:row>
    <x:row r="31" ht="24" customHeight="1">
      <x:c r="B31" s="1"/>
      <x:c r="C31" s="1"/>
      <x:c r="D31" s="1"/>
      <x:c r="E31" s="1"/>
    </x:row>
    <x:row r="32" ht="24" customHeight="1">
      <x:c r="B32" s="1" t="str">
        <x:v>Calculated status</x:v>
      </x:c>
      <x:c r="C32" s="1" t="str">
        <x:f>IF(C16&gt;=C29,"ON TRACK",IF(C16&gt;=C30,"TIGHT","DANGER"))</x:f>
        <x:v>ON TRACK</x:v>
      </x:c>
      <x:c r="D32" s="1" t="str">
        <x:f>IF(D16&gt;=D29,"ON TRACK",IF(D16&gt;=D30,"TIGHT","DANGER"))</x:f>
        <x:v>DANGER</x:v>
      </x:c>
      <x:c r="E32" s="1" t="str">
        <x:f>IF(E16&gt;=E29,"ON TRACK",IF(E16&gt;=E30,"TIGHT","DANGER"))</x:f>
        <x:v>DANGER</x:v>
      </x:c>
    </x:row>
    <x:row r="33" ht="24" customHeight="1">
      <x:c r="B33" s="1" t="str">
        <x:v>API status</x:v>
      </x:c>
      <x:c r="C33" s="1" t="str">
        <x:v>ON TRACK</x:v>
      </x:c>
      <x:c r="D33" s="1" t="str">
        <x:v>DANGER</x:v>
      </x:c>
      <x:c r="E33" s="1" t="str">
        <x:v>DANGER</x:v>
      </x:c>
    </x:row>
    <x:row r="34">
      <x:c r="B34" s="1"/>
      <x:c r="C34" s="1"/>
      <x:c r="D34" s="1"/>
      <x:c r="E34" s="1"/>
    </x:row>
    <x:row r="35">
      <x:c r="B35" s="1"/>
      <x:c r="C35" s="1"/>
      <x:c r="D35" s="1"/>
      <x:c r="E35" s="1"/>
    </x:row>
    <x:row r="36">
      <x:c r="B36" s="13" t="str">
        <x:v>Inputs: independent sums from saved demo topics and future sessions.</x:v>
      </x:c>
      <x:c r="C36" s="13"/>
      <x:c r="D36" s="13"/>
      <x:c r="E36" s="13"/>
    </x:row>
    <x:row r="37">
      <x:c r="B37" s="13" t="str">
        <x:v>API values: authenticated dashboard response; 18 numeric comparisons.</x:v>
      </x:c>
      <x:c r="C37" s="13"/>
      <x:c r="D37" s="13"/>
      <x:c r="E37" s="13"/>
    </x:row>
    <x:row r="38">
      <x:c r="B38" s="13" t="str">
        <x:v>Source: docs/evidence/2026-10-20/calculation-reconciliation.json</x:v>
      </x:c>
      <x:c r="C38" s="13"/>
      <x:c r="D38" s="13"/>
      <x:c r="E38" s="13"/>
    </x:row>
  </x:sheetData>
  <x:conditionalFormatting sqref="C25:E25">
    <x:cfRule type="cellIs" dxfId="0" priority="1" operator="greaterThanOrEqual">
      <x:formula>0.005</x:formula>
    </x:cfRule>
  </x:conditionalFormatting>
  <x:pageMargins left="0.7" right="0.7" top="0.75" bottom="0.75" header="0.3" footer="0.3"/>
</x:worksheet>
</file>